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Users\igorg\Downloads\"/>
    </mc:Choice>
  </mc:AlternateContent>
  <xr:revisionPtr revIDLastSave="0" documentId="13_ncr:1_{AE348111-1982-42E6-9D9E-3821AA837AE5}" xr6:coauthVersionLast="45" xr6:coauthVersionMax="45" xr10:uidLastSave="{00000000-0000-0000-0000-000000000000}"/>
  <bookViews>
    <workbookView xWindow="-120" yWindow="-120" windowWidth="20730" windowHeight="11160" activeTab="1" xr2:uid="{16145D54-0FF6-45FC-BCA1-B26D430C0F99}"/>
  </bookViews>
  <sheets>
    <sheet name="ORIGINAL" sheetId="4" r:id="rId1"/>
    <sheet name="CALCULADORA" sheetId="2" r:id="rId2"/>
    <sheet name="TIMES" sheetId="3" r:id="rId3"/>
  </sheets>
  <definedNames>
    <definedName name="_xlnm._FilterDatabase" localSheetId="2" hidden="1">TIMES!$A$1:$A$21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9" i="2" l="1"/>
  <c r="A14" i="2"/>
  <c r="A13" i="2"/>
  <c r="A12" i="2"/>
  <c r="A11" i="2"/>
  <c r="A10" i="2"/>
  <c r="B15" i="2"/>
  <c r="A3" i="2" l="1"/>
  <c r="A4" i="2"/>
  <c r="A5" i="2"/>
  <c r="A6" i="2"/>
  <c r="A8" i="2"/>
  <c r="A2" i="2"/>
  <c r="C15" i="2" l="1"/>
  <c r="U2" i="2"/>
  <c r="C16" i="2" l="1"/>
  <c r="D16" i="2"/>
  <c r="B16" i="2"/>
  <c r="D15" i="2"/>
  <c r="Q2" i="2"/>
  <c r="P2" i="2"/>
  <c r="O2" i="2"/>
  <c r="V2" i="2" l="1"/>
  <c r="T2" i="2" l="1"/>
  <c r="S2" i="2"/>
  <c r="R2" i="2"/>
  <c r="W2" i="2"/>
</calcChain>
</file>

<file path=xl/sharedStrings.xml><?xml version="1.0" encoding="utf-8"?>
<sst xmlns="http://schemas.openxmlformats.org/spreadsheetml/2006/main" count="76" uniqueCount="55">
  <si>
    <t>Brazil</t>
  </si>
  <si>
    <t>Serie A</t>
  </si>
  <si>
    <t>Country</t>
  </si>
  <si>
    <t>League</t>
  </si>
  <si>
    <t>Season</t>
  </si>
  <si>
    <t>Date</t>
  </si>
  <si>
    <t>Home</t>
  </si>
  <si>
    <t>Away</t>
  </si>
  <si>
    <t>PSCH</t>
  </si>
  <si>
    <t>PSCD</t>
  </si>
  <si>
    <t>PSCA</t>
  </si>
  <si>
    <t>MaxCH</t>
  </si>
  <si>
    <t>MaxCD</t>
  </si>
  <si>
    <t>MaxCA</t>
  </si>
  <si>
    <t>AvgCH</t>
  </si>
  <si>
    <t>AvgCD</t>
  </si>
  <si>
    <t>AvgCA</t>
  </si>
  <si>
    <t>Calculadora</t>
  </si>
  <si>
    <t>H</t>
  </si>
  <si>
    <t>D</t>
  </si>
  <si>
    <t>A</t>
  </si>
  <si>
    <t>AVG</t>
  </si>
  <si>
    <t>MAX</t>
  </si>
  <si>
    <t>Internacional</t>
  </si>
  <si>
    <t>Vitoria</t>
  </si>
  <si>
    <t>ODDSAGORA</t>
  </si>
  <si>
    <t>BETBRAIN</t>
  </si>
  <si>
    <t>ODDSPEDIA</t>
  </si>
  <si>
    <t>Times</t>
  </si>
  <si>
    <t>Botafogo RJ</t>
  </si>
  <si>
    <t>Santos</t>
  </si>
  <si>
    <t>Ceara</t>
  </si>
  <si>
    <t>Vasco</t>
  </si>
  <si>
    <t>Sao Paulo</t>
  </si>
  <si>
    <t>Bahia</t>
  </si>
  <si>
    <t>Corinthians</t>
  </si>
  <si>
    <t>Juventude</t>
  </si>
  <si>
    <t>Bragantino</t>
  </si>
  <si>
    <t>Flamengo RJ</t>
  </si>
  <si>
    <t>Cruzeiro</t>
  </si>
  <si>
    <t>Fluminense</t>
  </si>
  <si>
    <t>Atletico-MG</t>
  </si>
  <si>
    <t>Gremio</t>
  </si>
  <si>
    <t>Palmeiras</t>
  </si>
  <si>
    <t>Sport Recife</t>
  </si>
  <si>
    <t>Fortaleza</t>
  </si>
  <si>
    <t>Mirassol</t>
  </si>
  <si>
    <t>Pinneaple</t>
  </si>
  <si>
    <t>4horas de dif</t>
  </si>
  <si>
    <t>RES</t>
  </si>
  <si>
    <t>PROB M</t>
  </si>
  <si>
    <t>VALE A PENA</t>
  </si>
  <si>
    <t>PREVISÃO</t>
  </si>
  <si>
    <t>RESULTADO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</si>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</sst>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Fill="1"/>
    <xf numFmtId="14" fontId="0" fillId="0" borderId="0" xfId="0" applyNumberFormat="1" applyFill="1"/>
    <xf numFmtId="20" fontId="0" fillId="0" borderId="0" xfId="0" applyNumberFormat="1" applyFill="1"/>
    <xf numFmtId="0" fontId="0" fillId="0" borderId="1" xfId="0" applyBorder="1"/>
    <xf numFmtId="164" fontId="0" fillId="0" borderId="0" xfId="0" applyNumberFormat="1"/>
    <xf numFmtId="0" fontId="0" fillId="0" borderId="1" xfId="0" applyBorder="1" applyAlignment="1">
      <alignment horizontal="center"/>
    </xf>
    <xf numFmtId="3" fontId="0" fillId="0" borderId="0" xfId="0" applyNumberFormat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/>
    <xf numFmtId="1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0" fillId="0" borderId="0" xfId="0" applyNumberFormat="1"/>
    <xf numFmtId="0" fontId="0" fillId="0" borderId="0" xfId="0" quotePrefix="1" applyFill="1" applyAlignment="1">
      <alignment horizontal="center"/>
    </xf>
    <xf numFmtId="0" fontId="0" fillId="0" borderId="0" xfId="0" quotePrefix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47625</xdr:rowOff>
        </xdr:from>
        <xdr:to>
          <xdr:col>8</xdr:col>
          <xdr:colOff>47625</xdr:colOff>
          <xdr:row>12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</xdr:row>
          <xdr:rowOff>171450</xdr:rowOff>
        </xdr:from>
        <xdr:to>
          <xdr:col>7</xdr:col>
          <xdr:colOff>561975</xdr:colOff>
          <xdr:row>6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BE3E1-F473-42C4-ABA8-F17509F75651}">
  <sheetPr codeName="Planilha1"/>
  <dimension ref="A1:V36"/>
  <sheetViews>
    <sheetView workbookViewId="0">
      <selection activeCell="D16" sqref="D16"/>
    </sheetView>
  </sheetViews>
  <sheetFormatPr defaultRowHeight="15" x14ac:dyDescent="0.25"/>
  <cols>
    <col min="4" max="4" width="10.7109375" bestFit="1" customWidth="1"/>
    <col min="5" max="5" width="11.42578125" bestFit="1" customWidth="1"/>
    <col min="6" max="7" width="11.28515625" bestFit="1" customWidth="1"/>
    <col min="18" max="18" width="12.42578125" bestFit="1" customWidth="1"/>
    <col min="19" max="19" width="9.85546875" bestFit="1" customWidth="1"/>
    <col min="20" max="20" width="11.28515625" bestFit="1" customWidth="1"/>
  </cols>
  <sheetData>
    <row r="1" spans="1:20" x14ac:dyDescent="0.25">
      <c r="A1" s="9" t="s">
        <v>2</v>
      </c>
      <c r="B1" s="9" t="s">
        <v>3</v>
      </c>
      <c r="C1" s="9" t="s">
        <v>4</v>
      </c>
      <c r="D1" s="12" t="s">
        <v>5</v>
      </c>
      <c r="E1" s="9" t="s">
        <v>6</v>
      </c>
      <c r="F1" s="9" t="s">
        <v>7</v>
      </c>
      <c r="G1" s="9" t="s">
        <v>8</v>
      </c>
      <c r="H1" s="9" t="s">
        <v>9</v>
      </c>
      <c r="I1" s="9" t="s">
        <v>10</v>
      </c>
      <c r="J1" s="9" t="s">
        <v>11</v>
      </c>
      <c r="K1" s="9" t="s">
        <v>12</v>
      </c>
      <c r="L1" s="9" t="s">
        <v>13</v>
      </c>
      <c r="M1" s="9" t="s">
        <v>14</v>
      </c>
      <c r="N1" s="9" t="s">
        <v>15</v>
      </c>
      <c r="O1" s="9" t="s">
        <v>16</v>
      </c>
      <c r="P1" s="9" t="s">
        <v>50</v>
      </c>
      <c r="Q1" s="9" t="s">
        <v>49</v>
      </c>
      <c r="R1" s="9" t="s">
        <v>51</v>
      </c>
      <c r="S1" s="9" t="s">
        <v>52</v>
      </c>
      <c r="T1" s="9" t="s">
        <v>53</v>
      </c>
    </row>
    <row r="2" spans="1:20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 spans="1:20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</row>
    <row r="4" spans="1:20" x14ac:dyDescent="0.25">
      <c r="A4" s="9"/>
      <c r="B4" s="9"/>
      <c r="C4" s="9"/>
      <c r="D4" s="10"/>
      <c r="E4" s="10"/>
      <c r="F4" s="10"/>
      <c r="G4" s="9"/>
      <c r="H4" s="9"/>
      <c r="I4" s="9"/>
      <c r="J4" s="9"/>
      <c r="K4" s="9"/>
      <c r="L4" s="9"/>
      <c r="M4" s="9"/>
    </row>
    <row r="5" spans="1:20" x14ac:dyDescent="0.25">
      <c r="A5" s="9"/>
      <c r="B5" s="9"/>
      <c r="C5" s="9"/>
      <c r="D5" s="15" t="s">
        <v>54</v>
      </c>
      <c r="E5" s="10"/>
      <c r="F5" s="10"/>
      <c r="G5" s="9"/>
      <c r="H5" s="9"/>
      <c r="I5" s="9"/>
      <c r="J5" s="9"/>
      <c r="K5" s="9"/>
      <c r="L5" s="9"/>
      <c r="M5" s="9"/>
    </row>
    <row r="6" spans="1:20" x14ac:dyDescent="0.25">
      <c r="A6" s="9"/>
      <c r="B6" s="9"/>
      <c r="C6" s="9"/>
      <c r="D6" s="10"/>
      <c r="E6" s="10"/>
      <c r="F6" s="10"/>
      <c r="G6" s="9"/>
      <c r="H6" s="9"/>
      <c r="I6" s="9"/>
      <c r="J6" s="9"/>
      <c r="K6" s="9"/>
      <c r="L6" s="9"/>
      <c r="M6" s="9"/>
    </row>
    <row r="7" spans="1:20" x14ac:dyDescent="0.25">
      <c r="A7" s="9"/>
      <c r="B7" s="9"/>
      <c r="C7" s="9"/>
      <c r="D7" s="10"/>
      <c r="E7" s="10"/>
      <c r="F7" s="10"/>
      <c r="G7" s="9"/>
      <c r="H7" s="9"/>
      <c r="I7" s="9"/>
      <c r="J7" s="9"/>
      <c r="K7" s="9"/>
      <c r="L7" s="9"/>
      <c r="M7" s="9"/>
    </row>
    <row r="8" spans="1:20" x14ac:dyDescent="0.25">
      <c r="A8" s="9"/>
      <c r="B8" s="9"/>
      <c r="C8" s="9"/>
      <c r="D8" s="10"/>
      <c r="E8" s="10"/>
      <c r="F8" s="10"/>
      <c r="G8" s="9"/>
      <c r="H8" s="9"/>
      <c r="I8" s="9"/>
      <c r="J8" s="9"/>
      <c r="K8" s="9"/>
      <c r="L8" s="9"/>
      <c r="M8" s="9"/>
    </row>
    <row r="9" spans="1:20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</row>
    <row r="10" spans="1:20" x14ac:dyDescent="0.25">
      <c r="A10" s="9"/>
      <c r="B10" s="16" t="s">
        <v>54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</row>
    <row r="11" spans="1:20" x14ac:dyDescent="0.25">
      <c r="A11" s="9"/>
      <c r="B11" s="9"/>
      <c r="C11" s="9"/>
      <c r="D11" s="9"/>
      <c r="E11" s="13"/>
      <c r="F11" s="9"/>
      <c r="G11" s="9"/>
      <c r="H11" s="9"/>
      <c r="I11" s="9"/>
      <c r="J11" s="9"/>
      <c r="K11" s="9"/>
      <c r="L11" s="9"/>
      <c r="M11" s="9"/>
      <c r="N11" s="9"/>
      <c r="O11" s="9"/>
    </row>
    <row r="12" spans="1:20" x14ac:dyDescent="0.25">
      <c r="A12" s="9"/>
      <c r="B12" s="9"/>
      <c r="C12" s="9"/>
      <c r="D12" s="9"/>
      <c r="E12" s="13"/>
      <c r="F12" s="9"/>
      <c r="G12" s="9"/>
      <c r="H12" s="9"/>
      <c r="I12" s="9"/>
      <c r="J12" s="9"/>
      <c r="K12" s="9"/>
      <c r="L12" s="9"/>
      <c r="M12" s="9"/>
      <c r="N12" s="9"/>
      <c r="O12" s="9"/>
      <c r="P12" s="14"/>
    </row>
    <row r="13" spans="1:2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2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2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2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22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22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22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22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22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22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22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22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22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22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22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30" spans="1:22" x14ac:dyDescent="0.25">
      <c r="A30" s="1"/>
      <c r="B30" s="1"/>
      <c r="C30" s="1"/>
      <c r="D30" s="2"/>
      <c r="E30" s="3"/>
      <c r="K30" s="7"/>
      <c r="N30" s="5"/>
      <c r="O30" s="5"/>
      <c r="P30" s="5"/>
      <c r="Q30" s="5"/>
      <c r="R30" s="5"/>
      <c r="S30" s="5"/>
      <c r="V30" t="s">
        <v>25</v>
      </c>
    </row>
    <row r="31" spans="1:22" x14ac:dyDescent="0.25">
      <c r="A31" s="1"/>
      <c r="B31" s="1"/>
      <c r="C31" s="1"/>
      <c r="D31" s="2"/>
      <c r="E31" s="3"/>
      <c r="K31" s="7"/>
      <c r="N31" s="5"/>
      <c r="O31" s="5"/>
      <c r="P31" s="5"/>
      <c r="Q31" s="5"/>
      <c r="R31" s="5"/>
      <c r="S31" s="5"/>
      <c r="V31" t="s">
        <v>26</v>
      </c>
    </row>
    <row r="32" spans="1:22" x14ac:dyDescent="0.25">
      <c r="A32" s="1"/>
      <c r="B32" s="1"/>
      <c r="C32" s="1"/>
      <c r="D32" s="2"/>
      <c r="E32" s="3"/>
      <c r="K32" s="7"/>
      <c r="V32" t="s">
        <v>27</v>
      </c>
    </row>
    <row r="36" spans="1:1" x14ac:dyDescent="0.25">
      <c r="A36" s="1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3035-7E3F-4C21-B755-16FC04AA7D44}">
  <sheetPr codeName="Planilha3"/>
  <dimension ref="A1:W16"/>
  <sheetViews>
    <sheetView tabSelected="1" workbookViewId="0">
      <selection activeCell="N10" sqref="N10"/>
    </sheetView>
  </sheetViews>
  <sheetFormatPr defaultRowHeight="15" x14ac:dyDescent="0.25"/>
  <cols>
    <col min="1" max="1" width="11.28515625" bestFit="1" customWidth="1"/>
    <col min="5" max="5" width="10" bestFit="1" customWidth="1"/>
    <col min="12" max="12" width="10.7109375" bestFit="1" customWidth="1"/>
  </cols>
  <sheetData>
    <row r="1" spans="1:23" x14ac:dyDescent="0.25">
      <c r="A1" t="s">
        <v>17</v>
      </c>
      <c r="B1" s="6" t="s">
        <v>18</v>
      </c>
      <c r="C1" s="6" t="s">
        <v>19</v>
      </c>
      <c r="D1" s="6" t="s">
        <v>20</v>
      </c>
      <c r="E1" s="11" t="s">
        <v>47</v>
      </c>
      <c r="F1" s="6" t="s">
        <v>18</v>
      </c>
      <c r="G1" s="6" t="s">
        <v>19</v>
      </c>
      <c r="H1" s="6" t="s">
        <v>20</v>
      </c>
      <c r="I1" s="9" t="s">
        <v>2</v>
      </c>
      <c r="J1" s="9" t="s">
        <v>3</v>
      </c>
      <c r="K1" s="9" t="s">
        <v>4</v>
      </c>
      <c r="L1" s="12" t="s">
        <v>5</v>
      </c>
      <c r="M1" s="9" t="s">
        <v>6</v>
      </c>
      <c r="N1" s="9" t="s">
        <v>7</v>
      </c>
      <c r="O1" s="9" t="s">
        <v>8</v>
      </c>
      <c r="P1" s="9" t="s">
        <v>9</v>
      </c>
      <c r="Q1" s="9" t="s">
        <v>10</v>
      </c>
      <c r="R1" s="9" t="s">
        <v>11</v>
      </c>
      <c r="S1" s="9" t="s">
        <v>12</v>
      </c>
      <c r="T1" s="9" t="s">
        <v>13</v>
      </c>
      <c r="U1" s="9" t="s">
        <v>14</v>
      </c>
      <c r="V1" s="9" t="s">
        <v>15</v>
      </c>
      <c r="W1" s="9" t="s">
        <v>16</v>
      </c>
    </row>
    <row r="2" spans="1:23" x14ac:dyDescent="0.25">
      <c r="A2">
        <f>SUM(B2:D2)</f>
        <v>0</v>
      </c>
      <c r="B2" s="6"/>
      <c r="C2" s="6"/>
      <c r="D2" s="6"/>
      <c r="E2" s="11"/>
      <c r="F2" s="4"/>
      <c r="G2" s="4"/>
      <c r="H2" s="4"/>
      <c r="I2" s="9" t="s">
        <v>0</v>
      </c>
      <c r="J2" s="9" t="s">
        <v>1</v>
      </c>
      <c r="K2" s="9">
        <v>2025</v>
      </c>
      <c r="L2" s="12"/>
      <c r="N2" s="9"/>
      <c r="O2" s="9">
        <f>F2</f>
        <v>0</v>
      </c>
      <c r="P2" s="9">
        <f>G2</f>
        <v>0</v>
      </c>
      <c r="Q2" s="9">
        <f>H2</f>
        <v>0</v>
      </c>
      <c r="R2" s="9">
        <f>B16</f>
        <v>0</v>
      </c>
      <c r="S2" s="9">
        <f t="shared" ref="S2:T2" si="0">C16</f>
        <v>0</v>
      </c>
      <c r="T2" s="9">
        <f t="shared" si="0"/>
        <v>0</v>
      </c>
      <c r="U2" s="9" t="e">
        <f>B15</f>
        <v>#DIV/0!</v>
      </c>
      <c r="V2" s="9" t="e">
        <f t="shared" ref="V2:W2" si="1">C15</f>
        <v>#DIV/0!</v>
      </c>
      <c r="W2" s="9" t="e">
        <f t="shared" si="1"/>
        <v>#DIV/0!</v>
      </c>
    </row>
    <row r="3" spans="1:23" x14ac:dyDescent="0.25">
      <c r="A3">
        <f t="shared" ref="A3:A14" si="2">SUM(B3:D3)</f>
        <v>0</v>
      </c>
      <c r="B3" s="6"/>
      <c r="C3" s="6"/>
      <c r="D3" s="6"/>
      <c r="E3" s="11"/>
      <c r="F3" s="8"/>
      <c r="G3" s="8"/>
      <c r="H3" s="8"/>
    </row>
    <row r="4" spans="1:23" x14ac:dyDescent="0.25">
      <c r="A4">
        <f t="shared" si="2"/>
        <v>0</v>
      </c>
      <c r="B4" s="6"/>
      <c r="C4" s="6"/>
      <c r="D4" s="6"/>
      <c r="E4" s="11"/>
      <c r="F4" s="8"/>
      <c r="G4" s="8"/>
      <c r="H4" s="8"/>
    </row>
    <row r="5" spans="1:23" x14ac:dyDescent="0.25">
      <c r="A5">
        <f t="shared" si="2"/>
        <v>0</v>
      </c>
      <c r="B5" s="6"/>
      <c r="C5" s="6"/>
      <c r="D5" s="6"/>
      <c r="E5" s="11"/>
      <c r="F5" s="8"/>
      <c r="G5" s="8"/>
      <c r="H5" s="8"/>
    </row>
    <row r="6" spans="1:23" x14ac:dyDescent="0.25">
      <c r="A6">
        <f t="shared" si="2"/>
        <v>0</v>
      </c>
      <c r="B6" s="6"/>
      <c r="C6" s="6"/>
      <c r="D6" s="6"/>
      <c r="E6" s="11"/>
      <c r="F6" s="8"/>
      <c r="G6" s="8"/>
      <c r="H6" s="8"/>
    </row>
    <row r="7" spans="1:23" x14ac:dyDescent="0.25">
      <c r="A7">
        <f t="shared" si="2"/>
        <v>0</v>
      </c>
      <c r="B7" s="6"/>
      <c r="C7" s="6"/>
      <c r="D7" s="6"/>
      <c r="E7" s="11"/>
      <c r="F7" s="8"/>
      <c r="G7" s="8"/>
      <c r="H7" s="8"/>
    </row>
    <row r="8" spans="1:23" x14ac:dyDescent="0.25">
      <c r="A8">
        <f t="shared" si="2"/>
        <v>0</v>
      </c>
      <c r="B8" s="6"/>
      <c r="C8" s="6"/>
      <c r="D8" s="6"/>
      <c r="E8" s="11"/>
      <c r="F8" s="8"/>
      <c r="G8" s="8"/>
      <c r="H8" s="8"/>
    </row>
    <row r="9" spans="1:23" x14ac:dyDescent="0.25">
      <c r="A9">
        <f t="shared" si="2"/>
        <v>0</v>
      </c>
      <c r="B9" s="6"/>
      <c r="C9" s="6"/>
      <c r="D9" s="6"/>
      <c r="E9" s="8"/>
      <c r="F9" s="8"/>
      <c r="G9" s="8"/>
      <c r="H9" s="8"/>
    </row>
    <row r="10" spans="1:23" x14ac:dyDescent="0.25">
      <c r="A10">
        <f t="shared" si="2"/>
        <v>0</v>
      </c>
      <c r="B10" s="6"/>
      <c r="C10" s="6"/>
      <c r="D10" s="6"/>
      <c r="E10" s="8"/>
      <c r="F10" s="8"/>
      <c r="G10" s="8"/>
      <c r="H10" s="8"/>
    </row>
    <row r="11" spans="1:23" x14ac:dyDescent="0.25">
      <c r="A11">
        <f t="shared" si="2"/>
        <v>0</v>
      </c>
      <c r="B11" s="6"/>
      <c r="C11" s="6"/>
      <c r="D11" s="6"/>
      <c r="E11" s="8"/>
      <c r="F11" s="8"/>
      <c r="G11" s="8"/>
      <c r="H11" s="8"/>
    </row>
    <row r="12" spans="1:23" x14ac:dyDescent="0.25">
      <c r="A12">
        <f t="shared" si="2"/>
        <v>0</v>
      </c>
      <c r="B12" s="6"/>
      <c r="C12" s="6"/>
      <c r="D12" s="6"/>
      <c r="E12" s="8"/>
      <c r="F12" s="8"/>
      <c r="G12" s="8"/>
      <c r="H12" s="8"/>
    </row>
    <row r="13" spans="1:23" x14ac:dyDescent="0.25">
      <c r="A13">
        <f t="shared" si="2"/>
        <v>0</v>
      </c>
      <c r="B13" s="6"/>
      <c r="C13" s="6"/>
      <c r="D13" s="6"/>
      <c r="E13" s="8"/>
      <c r="F13" s="8"/>
      <c r="G13" s="8"/>
      <c r="H13" s="8"/>
    </row>
    <row r="14" spans="1:23" x14ac:dyDescent="0.25">
      <c r="A14">
        <f t="shared" si="2"/>
        <v>0</v>
      </c>
      <c r="B14" s="6"/>
      <c r="C14" s="6"/>
      <c r="D14" s="6"/>
      <c r="E14" s="8"/>
      <c r="F14" s="8"/>
      <c r="G14" s="8"/>
      <c r="H14" s="8"/>
    </row>
    <row r="15" spans="1:23" x14ac:dyDescent="0.25">
      <c r="A15" t="s">
        <v>21</v>
      </c>
      <c r="B15" s="6" t="e">
        <f>AVERAGE(B2:B14)</f>
        <v>#DIV/0!</v>
      </c>
      <c r="C15" s="6" t="e">
        <f>AVERAGE(C2:C14)</f>
        <v>#DIV/0!</v>
      </c>
      <c r="D15" s="6" t="e">
        <f t="shared" ref="D15" si="3">AVERAGE(D2:D14)</f>
        <v>#DIV/0!</v>
      </c>
      <c r="E15" s="8"/>
      <c r="F15" s="8" t="s">
        <v>48</v>
      </c>
      <c r="G15" s="8"/>
      <c r="H15" s="8"/>
    </row>
    <row r="16" spans="1:23" x14ac:dyDescent="0.25">
      <c r="A16" t="s">
        <v>22</v>
      </c>
      <c r="B16" s="6">
        <f>MAX(B2:B14)</f>
        <v>0</v>
      </c>
      <c r="C16" s="6">
        <f t="shared" ref="C16:D16" si="4">MAX(C2:C14)</f>
        <v>0</v>
      </c>
      <c r="D16" s="6">
        <f t="shared" si="4"/>
        <v>0</v>
      </c>
      <c r="E16" s="8"/>
      <c r="F16" s="8"/>
      <c r="G16" s="8"/>
      <c r="H16" s="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Macro8">
                <anchor moveWithCells="1" sizeWithCells="1">
                  <from>
                    <xdr:col>5</xdr:col>
                    <xdr:colOff>9525</xdr:colOff>
                    <xdr:row>8</xdr:row>
                    <xdr:rowOff>47625</xdr:rowOff>
                  </from>
                  <to>
                    <xdr:col>8</xdr:col>
                    <xdr:colOff>47625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Macro10">
                <anchor moveWithCells="1" sizeWithCells="1">
                  <from>
                    <xdr:col>5</xdr:col>
                    <xdr:colOff>38100</xdr:colOff>
                    <xdr:row>3</xdr:row>
                    <xdr:rowOff>171450</xdr:rowOff>
                  </from>
                  <to>
                    <xdr:col>7</xdr:col>
                    <xdr:colOff>561975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B2C3FD9-69EF-4B22-86A8-34CD3C324B4E}">
          <x14:formula1>
            <xm:f>TIMES!$C$2</xm:f>
          </x14:formula1>
          <xm:sqref>I2</xm:sqref>
        </x14:dataValidation>
        <x14:dataValidation type="list" allowBlank="1" showInputMessage="1" showErrorMessage="1" xr:uid="{44A75B3F-97C8-47D5-A3BC-D3FA1C1FBA1A}">
          <x14:formula1>
            <xm:f>TIMES!$C$3</xm:f>
          </x14:formula1>
          <xm:sqref>J2</xm:sqref>
        </x14:dataValidation>
        <x14:dataValidation type="list" allowBlank="1" showInputMessage="1" showErrorMessage="1" xr:uid="{AAF3599E-0966-4BA3-9FB0-B1635D4FBEA3}">
          <x14:formula1>
            <xm:f>TIMES!$C$4</xm:f>
          </x14:formula1>
          <xm:sqref>K2</xm:sqref>
        </x14:dataValidation>
        <x14:dataValidation type="list" allowBlank="1" showInputMessage="1" showErrorMessage="1" xr:uid="{78DBDCE8-52A2-40B1-AAF1-439654A8FB27}">
          <x14:formula1>
            <xm:f>TIMES!$A$2:$A$21</xm:f>
          </x14:formula1>
          <xm:sqref>M2:N2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9B120-74FA-4F9F-87F2-1CC2C62750CF}">
  <sheetPr codeName="Planilha4"/>
  <dimension ref="A1:C21"/>
  <sheetViews>
    <sheetView workbookViewId="0">
      <selection activeCell="A11" sqref="A11"/>
    </sheetView>
  </sheetViews>
  <sheetFormatPr defaultRowHeight="15" x14ac:dyDescent="0.25"/>
  <cols>
    <col min="1" max="1" width="12.7109375" bestFit="1" customWidth="1"/>
  </cols>
  <sheetData>
    <row r="1" spans="1:3" x14ac:dyDescent="0.25">
      <c r="A1" t="s">
        <v>28</v>
      </c>
    </row>
    <row r="2" spans="1:3" x14ac:dyDescent="0.25">
      <c r="A2" t="s">
        <v>41</v>
      </c>
      <c r="C2" s="9" t="s">
        <v>0</v>
      </c>
    </row>
    <row r="3" spans="1:3" x14ac:dyDescent="0.25">
      <c r="A3" t="s">
        <v>34</v>
      </c>
      <c r="C3" s="10" t="s">
        <v>1</v>
      </c>
    </row>
    <row r="4" spans="1:3" x14ac:dyDescent="0.25">
      <c r="A4" t="s">
        <v>29</v>
      </c>
      <c r="C4" s="10">
        <v>2025</v>
      </c>
    </row>
    <row r="5" spans="1:3" x14ac:dyDescent="0.25">
      <c r="A5" t="s">
        <v>37</v>
      </c>
    </row>
    <row r="6" spans="1:3" x14ac:dyDescent="0.25">
      <c r="A6" t="s">
        <v>31</v>
      </c>
    </row>
    <row r="7" spans="1:3" x14ac:dyDescent="0.25">
      <c r="A7" t="s">
        <v>35</v>
      </c>
    </row>
    <row r="8" spans="1:3" x14ac:dyDescent="0.25">
      <c r="A8" t="s">
        <v>39</v>
      </c>
    </row>
    <row r="9" spans="1:3" x14ac:dyDescent="0.25">
      <c r="A9" t="s">
        <v>38</v>
      </c>
    </row>
    <row r="10" spans="1:3" x14ac:dyDescent="0.25">
      <c r="A10" t="s">
        <v>40</v>
      </c>
    </row>
    <row r="11" spans="1:3" x14ac:dyDescent="0.25">
      <c r="A11" t="s">
        <v>45</v>
      </c>
    </row>
    <row r="12" spans="1:3" x14ac:dyDescent="0.25">
      <c r="A12" t="s">
        <v>42</v>
      </c>
    </row>
    <row r="13" spans="1:3" x14ac:dyDescent="0.25">
      <c r="A13" t="s">
        <v>23</v>
      </c>
    </row>
    <row r="14" spans="1:3" x14ac:dyDescent="0.25">
      <c r="A14" t="s">
        <v>36</v>
      </c>
    </row>
    <row r="15" spans="1:3" x14ac:dyDescent="0.25">
      <c r="A15" t="s">
        <v>46</v>
      </c>
    </row>
    <row r="16" spans="1:3" x14ac:dyDescent="0.25">
      <c r="A16" t="s">
        <v>43</v>
      </c>
    </row>
    <row r="17" spans="1:1" x14ac:dyDescent="0.25">
      <c r="A17" t="s">
        <v>30</v>
      </c>
    </row>
    <row r="18" spans="1:1" x14ac:dyDescent="0.25">
      <c r="A18" t="s">
        <v>33</v>
      </c>
    </row>
    <row r="19" spans="1:1" x14ac:dyDescent="0.25">
      <c r="A19" t="s">
        <v>44</v>
      </c>
    </row>
    <row r="20" spans="1:1" x14ac:dyDescent="0.25">
      <c r="A20" t="s">
        <v>32</v>
      </c>
    </row>
    <row r="21" spans="1:1" x14ac:dyDescent="0.25">
      <c r="A21" t="s">
        <v>24</v>
      </c>
    </row>
  </sheetData>
  <autoFilter ref="A1:A21" xr:uid="{6B8C0B38-5BA6-4F69-8821-E48BD4BB1382}">
    <sortState xmlns:xlrd2="http://schemas.microsoft.com/office/spreadsheetml/2017/richdata2" ref="A2:A21">
      <sortCondition ref="A1:A21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ORIGINAL</vt:lpstr>
      <vt:lpstr>CALCULADORA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2025-07-12T02:33:30Z</dcterms:created>
  <dcterms:modified xsi:type="dcterms:W3CDTF">2025-08-27T03:23:34Z</dcterms:modified>
</cp:coreProperties>
</file>